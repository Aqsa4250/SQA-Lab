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810" windowWidth="19575" windowHeight="7080"/>
  </bookViews>
  <sheets>
    <sheet name="ATM Test Cases" sheetId="1" r:id="rId1"/>
    <sheet name="Summary" sheetId="2" r:id="rId2"/>
  </sheets>
  <definedNames>
    <definedName name="_xlnm._FilterDatabase" localSheetId="0" hidden="1">'ATM Test Cases'!$A$1:$G$11</definedName>
  </definedNames>
  <calcPr calcId="124519"/>
</workbook>
</file>

<file path=xl/calcChain.xml><?xml version="1.0" encoding="utf-8"?>
<calcChain xmlns="http://schemas.openxmlformats.org/spreadsheetml/2006/main">
  <c r="F16" i="1"/>
  <c r="F15"/>
  <c r="F14"/>
  <c r="F13"/>
  <c r="B6" i="2"/>
  <c r="B5"/>
  <c r="B4"/>
  <c r="B3"/>
</calcChain>
</file>

<file path=xl/sharedStrings.xml><?xml version="1.0" encoding="utf-8"?>
<sst xmlns="http://schemas.openxmlformats.org/spreadsheetml/2006/main" count="88" uniqueCount="78">
  <si>
    <t>Test Case ID</t>
  </si>
  <si>
    <t>Test Scenario</t>
  </si>
  <si>
    <t>Preconditions</t>
  </si>
  <si>
    <t>Test Steps</t>
  </si>
  <si>
    <t>Expected Result</t>
  </si>
  <si>
    <t>Actual Result</t>
  </si>
  <si>
    <t>Status</t>
  </si>
  <si>
    <t>TC-001</t>
  </si>
  <si>
    <t>Insert valid ATM card</t>
  </si>
  <si>
    <t>Valid and active ATM card is available</t>
  </si>
  <si>
    <t>Insert a valid ATM card into the ATM</t>
  </si>
  <si>
    <t>ATM accepts the card and asks for PIN</t>
  </si>
  <si>
    <t>ATM accepts card and asks for PIN</t>
  </si>
  <si>
    <t>Pass</t>
  </si>
  <si>
    <t>TC-002</t>
  </si>
  <si>
    <t>Enter correct PIN</t>
  </si>
  <si>
    <t>ATM card has been accepted</t>
  </si>
  <si>
    <t>Enter the correct PIN</t>
  </si>
  <si>
    <t>ATM displays the transaction menu</t>
  </si>
  <si>
    <t>Transaction menu is displayed</t>
  </si>
  <si>
    <t>TC-003</t>
  </si>
  <si>
    <t>Enter incorrect PIN</t>
  </si>
  <si>
    <t>Enter an incorrect PIN</t>
  </si>
  <si>
    <t>ATM displays an error message</t>
  </si>
  <si>
    <t>Error message is displayed</t>
  </si>
  <si>
    <t>TC-004</t>
  </si>
  <si>
    <t>Withdraw valid amount</t>
  </si>
  <si>
    <t>Sufficient account balance and ATM cash available</t>
  </si>
  <si>
    <t>Select Withdraw and enter an available amount</t>
  </si>
  <si>
    <t>ATM dispenses the requested cash</t>
  </si>
  <si>
    <t>Cash is dispensed successfully</t>
  </si>
  <si>
    <t>TC-005</t>
  </si>
  <si>
    <t>Withdraw amount greater than balance</t>
  </si>
  <si>
    <t>Account balance is lower than requested amount</t>
  </si>
  <si>
    <t>Select Withdraw and enter an amount greater than the balance</t>
  </si>
  <si>
    <t>ATM rejects the transaction and shows insufficient balance</t>
  </si>
  <si>
    <t>Transaction rejected with insufficient balance message</t>
  </si>
  <si>
    <t>TC-006</t>
  </si>
  <si>
    <t>Check account balance</t>
  </si>
  <si>
    <t>Valid card and correct PIN entered</t>
  </si>
  <si>
    <t>Select Balance Inquiry</t>
  </si>
  <si>
    <t>ATM displays the current account balance</t>
  </si>
  <si>
    <t>Balance is displayed</t>
  </si>
  <si>
    <t>TC-007</t>
  </si>
  <si>
    <t>Cancel transaction</t>
  </si>
  <si>
    <t>User is on a transaction screen</t>
  </si>
  <si>
    <t>Start a transaction and press Cancel</t>
  </si>
  <si>
    <t>ATM cancels the transaction and returns to the main screen</t>
  </si>
  <si>
    <t>Transaction cancelled</t>
  </si>
  <si>
    <t>TC-008</t>
  </si>
  <si>
    <t>Eject ATM card</t>
  </si>
  <si>
    <t>Transaction is completed or cancelled</t>
  </si>
  <si>
    <t>Select Exit / finish the transaction</t>
  </si>
  <si>
    <t>ATM returns the card to the user</t>
  </si>
  <si>
    <t>Card is returned</t>
  </si>
  <si>
    <t>TC-009</t>
  </si>
  <si>
    <t>Enter invalid withdrawal amount</t>
  </si>
  <si>
    <t>Select Withdraw and enter 0 or an unsupported denomination</t>
  </si>
  <si>
    <t>ATM displays an appropriate error message</t>
  </si>
  <si>
    <t>Error message displayed</t>
  </si>
  <si>
    <t>TC-010</t>
  </si>
  <si>
    <t>ATM has insufficient cash</t>
  </si>
  <si>
    <t>ATM cash is lower than the requested amount</t>
  </si>
  <si>
    <t>Request an amount that the ATM cannot dispense</t>
  </si>
  <si>
    <t>ATM informs the user that cash cannot be dispensed</t>
  </si>
  <si>
    <t>ATM does not dispense cash and displays cash unavailable message</t>
  </si>
  <si>
    <t>Fail</t>
  </si>
  <si>
    <t>ATM Test Case Summary</t>
  </si>
  <si>
    <t>Total Test Cases</t>
  </si>
  <si>
    <t>Passed</t>
  </si>
  <si>
    <t>Failed</t>
  </si>
  <si>
    <t>Blocked</t>
  </si>
  <si>
    <t>Note</t>
  </si>
  <si>
    <t>TC-010 is intentionally marked Fail as an example of a failed test case.</t>
  </si>
  <si>
    <t>total test cases</t>
  </si>
  <si>
    <t>pass</t>
  </si>
  <si>
    <t>fail</t>
  </si>
  <si>
    <t>accuracy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</si>
</sst>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6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0" borderId="0" xfId="0" applyFont="1"/>
    <xf numFmtId="0" fontId="3" fillId="0" borderId="0" xfId="0" applyFont="1"/>
    <xf numFmtId="0" fontId="0" fillId="0" borderId="0" xfId="0" applyFill="1" applyBorder="1" applyAlignment="1">
      <alignment vertical="top" wrapText="1"/>
    </xf>
  </cellXfs>
  <cellStyles count="1">
    <cellStyle name="Normal" xfId="0" builtinId="0"/>
  </cellStyles>
  <dxfs count="3"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topLeftCell="D1" zoomScale="70" zoomScaleNormal="70" workbookViewId="0">
      <pane ySplit="1" topLeftCell="A7" activePane="bottomLeft" state="frozen"/>
      <selection pane="bottomLeft" activeCell="F17" sqref="F17"/>
    </sheetView>
  </sheetViews>
  <sheetFormatPr defaultRowHeight="15"/>
  <cols>
    <col min="1" max="1" width="15" customWidth="1"/>
    <col min="2" max="2" width="32" customWidth="1"/>
    <col min="3" max="3" width="38" customWidth="1"/>
    <col min="4" max="6" width="48" customWidth="1"/>
    <col min="7" max="7" width="19.140625" customWidth="1"/>
  </cols>
  <sheetData>
    <row r="1" spans="1:7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60" customHeight="1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60" customHeight="1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13</v>
      </c>
    </row>
    <row r="4" spans="1:7" ht="60" customHeight="1">
      <c r="A4" s="2" t="s">
        <v>20</v>
      </c>
      <c r="B4" s="2" t="s">
        <v>21</v>
      </c>
      <c r="C4" s="2" t="s">
        <v>16</v>
      </c>
      <c r="D4" s="2" t="s">
        <v>22</v>
      </c>
      <c r="E4" s="2" t="s">
        <v>23</v>
      </c>
      <c r="F4" s="2" t="s">
        <v>24</v>
      </c>
      <c r="G4" s="2" t="s">
        <v>13</v>
      </c>
    </row>
    <row r="5" spans="1:7" ht="60" customHeight="1">
      <c r="A5" s="2" t="s">
        <v>25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30</v>
      </c>
      <c r="G5" s="2" t="s">
        <v>13</v>
      </c>
    </row>
    <row r="6" spans="1:7" ht="60" customHeight="1">
      <c r="A6" s="2" t="s">
        <v>31</v>
      </c>
      <c r="B6" s="2" t="s">
        <v>32</v>
      </c>
      <c r="C6" s="2" t="s">
        <v>33</v>
      </c>
      <c r="D6" s="2" t="s">
        <v>34</v>
      </c>
      <c r="E6" s="2" t="s">
        <v>35</v>
      </c>
      <c r="F6" s="2" t="s">
        <v>36</v>
      </c>
      <c r="G6" s="2" t="s">
        <v>13</v>
      </c>
    </row>
    <row r="7" spans="1:7" ht="60" customHeight="1">
      <c r="A7" s="2" t="s">
        <v>37</v>
      </c>
      <c r="B7" s="2" t="s">
        <v>38</v>
      </c>
      <c r="C7" s="2" t="s">
        <v>39</v>
      </c>
      <c r="D7" s="2" t="s">
        <v>40</v>
      </c>
      <c r="E7" s="2" t="s">
        <v>41</v>
      </c>
      <c r="F7" s="2" t="s">
        <v>42</v>
      </c>
      <c r="G7" s="2" t="s">
        <v>13</v>
      </c>
    </row>
    <row r="8" spans="1:7" ht="60" customHeight="1">
      <c r="A8" s="2" t="s">
        <v>43</v>
      </c>
      <c r="B8" s="2" t="s">
        <v>44</v>
      </c>
      <c r="C8" s="2" t="s">
        <v>45</v>
      </c>
      <c r="D8" s="2" t="s">
        <v>46</v>
      </c>
      <c r="E8" s="2" t="s">
        <v>47</v>
      </c>
      <c r="F8" s="2" t="s">
        <v>48</v>
      </c>
      <c r="G8" s="2" t="s">
        <v>13</v>
      </c>
    </row>
    <row r="9" spans="1:7" ht="60" customHeight="1">
      <c r="A9" s="2" t="s">
        <v>49</v>
      </c>
      <c r="B9" s="2" t="s">
        <v>50</v>
      </c>
      <c r="C9" s="2" t="s">
        <v>51</v>
      </c>
      <c r="D9" s="2" t="s">
        <v>52</v>
      </c>
      <c r="E9" s="2" t="s">
        <v>53</v>
      </c>
      <c r="F9" s="2" t="s">
        <v>54</v>
      </c>
      <c r="G9" s="2" t="s">
        <v>13</v>
      </c>
    </row>
    <row r="10" spans="1:7" ht="60" customHeight="1">
      <c r="A10" s="2" t="s">
        <v>55</v>
      </c>
      <c r="B10" s="2" t="s">
        <v>56</v>
      </c>
      <c r="C10" s="2" t="s">
        <v>39</v>
      </c>
      <c r="D10" s="2" t="s">
        <v>57</v>
      </c>
      <c r="E10" s="2" t="s">
        <v>58</v>
      </c>
      <c r="F10" s="2" t="s">
        <v>59</v>
      </c>
      <c r="G10" s="2" t="s">
        <v>13</v>
      </c>
    </row>
    <row r="11" spans="1:7" ht="60" customHeight="1">
      <c r="A11" s="2" t="s">
        <v>60</v>
      </c>
      <c r="B11" s="2" t="s">
        <v>61</v>
      </c>
      <c r="C11" s="2" t="s">
        <v>62</v>
      </c>
      <c r="D11" s="2" t="s">
        <v>63</v>
      </c>
      <c r="E11" s="2" t="s">
        <v>64</v>
      </c>
      <c r="F11" s="2" t="s">
        <v>65</v>
      </c>
      <c r="G11" s="2" t="s">
        <v>66</v>
      </c>
    </row>
    <row r="13" spans="1:7">
      <c r="E13" s="5" t="s">
        <v>74</v>
      </c>
      <c r="F13">
        <f>COUNTA(G2:G11)</f>
        <v>10</v>
      </c>
    </row>
    <row r="14" spans="1:7">
      <c r="E14" s="5" t="s">
        <v>75</v>
      </c>
      <c r="F14">
        <f>COUNTIF(G2:G11,"Pass")</f>
        <v>9</v>
      </c>
    </row>
    <row r="15" spans="1:7">
      <c r="E15" s="5" t="s">
        <v>76</v>
      </c>
      <c r="F15">
        <f>COUNTIF(G2:G11,"Fail")</f>
        <v>1</v>
      </c>
    </row>
    <row r="16" spans="1:7">
      <c r="E16" s="5" t="s">
        <v>77</v>
      </c>
      <c r="F16">
        <f>COUNTIF(G2:G11,"Pass")/COUNTA(G2:G11)</f>
        <v>0.9</v>
      </c>
    </row>
  </sheetData>
  <autoFilter ref="A1:G11"/>
  <conditionalFormatting sqref="G2:G101">
    <cfRule type="cellIs" dxfId="2" priority="1" operator="equal">
      <formula>"Pass"</formula>
    </cfRule>
    <cfRule type="cellIs" dxfId="1" priority="2" operator="equal">
      <formula>"Fail"</formula>
    </cfRule>
    <cfRule type="cellIs" dxfId="0" priority="3" operator="equal">
      <formula>"Blocked"</formula>
    </cfRule>
  </conditionalFormatting>
  <dataValidations count="1">
    <dataValidation type="list" sqref="G2:G101">
      <formula1>"Pass,Fail,Blocked"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cols>
    <col min="1" max="1" width="25" customWidth="1"/>
    <col min="2" max="2" width="70" customWidth="1"/>
  </cols>
  <sheetData>
    <row r="1" spans="1:2" ht="21">
      <c r="A1" s="3" t="s">
        <v>67</v>
      </c>
    </row>
    <row r="3" spans="1:2">
      <c r="A3" s="4" t="s">
        <v>68</v>
      </c>
      <c r="B3">
        <f>COUNTA('ATM Test Cases'!A2:A11)</f>
        <v>10</v>
      </c>
    </row>
    <row r="4" spans="1:2">
      <c r="A4" s="4" t="s">
        <v>69</v>
      </c>
      <c r="B4">
        <f>COUNTIF('ATM Test Cases'!G2:G11,"Pass")</f>
        <v>9</v>
      </c>
    </row>
    <row r="5" spans="1:2">
      <c r="A5" s="4" t="s">
        <v>70</v>
      </c>
      <c r="B5">
        <f>COUNTIF('ATM Test Cases'!G2:G11,"Fail")</f>
        <v>1</v>
      </c>
    </row>
    <row r="6" spans="1:2">
      <c r="A6" s="4" t="s">
        <v>71</v>
      </c>
      <c r="B6">
        <f>COUNTIF('ATM Test Cases'!G2:G11,"Blocked")</f>
        <v>0</v>
      </c>
    </row>
    <row r="8" spans="1:2">
      <c r="A8" s="4" t="s">
        <v>72</v>
      </c>
      <c r="B8" t="s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ATM Test Cases</vt:lpstr>
      <vt:lpstr>Summary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aqsa</cp:lastModifiedBy>
  <dcterms:created xsi:type="dcterms:W3CDTF">2026-09-22T09:08:08Z</dcterms:created>
  <dcterms:modified xsi:type="dcterms:W3CDTF">2026-09-22T10:21:49Z</dcterms:modified>
</cp:coreProperties>
</file>